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bit\Desktop\Inz\Laboratoria\zad03\"/>
    </mc:Choice>
  </mc:AlternateContent>
  <xr:revisionPtr revIDLastSave="0" documentId="13_ncr:1_{07573703-0751-425F-8474-B2B7B018E60A}" xr6:coauthVersionLast="47" xr6:coauthVersionMax="47" xr10:uidLastSave="{00000000-0000-0000-0000-000000000000}"/>
  <bookViews>
    <workbookView xWindow="780" yWindow="780" windowWidth="28800" windowHeight="15345" xr2:uid="{00000000-000D-0000-FFFF-FFFF00000000}"/>
  </bookViews>
  <sheets>
    <sheet name="Kosztorys projekt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3" i="1"/>
  <c r="G22" i="1"/>
  <c r="G21" i="1"/>
  <c r="E16" i="1"/>
  <c r="G15" i="1"/>
  <c r="G14" i="1"/>
  <c r="G13" i="1"/>
  <c r="G16" i="1" s="1"/>
  <c r="G12" i="1"/>
  <c r="G11" i="1"/>
  <c r="G10" i="1"/>
  <c r="G9" i="1"/>
  <c r="G8" i="1"/>
  <c r="G7" i="1"/>
  <c r="G6" i="1"/>
  <c r="F24" i="1" l="1"/>
  <c r="G24" i="1" s="1"/>
</calcChain>
</file>

<file path=xl/sharedStrings.xml><?xml version="1.0" encoding="utf-8"?>
<sst xmlns="http://schemas.openxmlformats.org/spreadsheetml/2006/main" count="51" uniqueCount="48">
  <si>
    <t>Lp.</t>
  </si>
  <si>
    <t>Rola w projekcie</t>
  </si>
  <si>
    <t>Zadania realizowane w projekcie</t>
  </si>
  <si>
    <t>Liczba osób</t>
  </si>
  <si>
    <t>Nakład [godz.]</t>
  </si>
  <si>
    <t>Stawka [PLN/h]</t>
  </si>
  <si>
    <t>Koszt [PLN]</t>
  </si>
  <si>
    <t>Project Manager</t>
  </si>
  <si>
    <t>Przygotowanie planu projektu (16h) + harmonogramu (24h)</t>
  </si>
  <si>
    <t>Business Analyst</t>
  </si>
  <si>
    <t>Napisanie specyfikacji wymagań funkcjonalnych</t>
  </si>
  <si>
    <t>System Analist</t>
  </si>
  <si>
    <t>Przygotowanie analizy specyfikacji wymagań</t>
  </si>
  <si>
    <t>System Architect</t>
  </si>
  <si>
    <t>Projekt aplikacji (16h) + implementacja kodu (40h) + opis wersji (16h)</t>
  </si>
  <si>
    <t>Configuration Manager</t>
  </si>
  <si>
    <t>Plan zarządzania konfiguracją (8h) + instalacja pakietów 2× (8h+8h)</t>
  </si>
  <si>
    <t>Risk Manager</t>
  </si>
  <si>
    <t>Plan zarządzania ryzykiem projektu</t>
  </si>
  <si>
    <t>Test Manager</t>
  </si>
  <si>
    <t>Plan testów (16h) + środowisko testowe (16h) + akceptacja raportu I (8h)</t>
  </si>
  <si>
    <t>Project Management Board</t>
  </si>
  <si>
    <t>Akceptacje 7 etapów projektu (7 × 8h)</t>
  </si>
  <si>
    <t>Aplication Tester</t>
  </si>
  <si>
    <t>Wykonanie I cyklu testów (8h) + II cyklu testów (8h)</t>
  </si>
  <si>
    <t>Test Designer</t>
  </si>
  <si>
    <t>Akceptacja wyników II cyklu testów</t>
  </si>
  <si>
    <t>ŁĄCZNY NAKŁAD I KOSZT ROBOCIZNY</t>
  </si>
  <si>
    <t>SEKCJA 2 — Koszty dodatkowe</t>
  </si>
  <si>
    <t>Kategoria</t>
  </si>
  <si>
    <t>Opis</t>
  </si>
  <si>
    <t>Ilość</t>
  </si>
  <si>
    <t>Jednostka</t>
  </si>
  <si>
    <t>Cena jedn.</t>
  </si>
  <si>
    <t>Licencje</t>
  </si>
  <si>
    <t>Visual Studio Community (bezpłatna)</t>
  </si>
  <si>
    <t>szt.</t>
  </si>
  <si>
    <t>Sprzęt</t>
  </si>
  <si>
    <t>Amortyzacja komputerów (4 os. × 2 mies.)</t>
  </si>
  <si>
    <t>mies.</t>
  </si>
  <si>
    <t>Dokumentacja</t>
  </si>
  <si>
    <t>Druk i oprawa dokumentacji projektowej</t>
  </si>
  <si>
    <t>kpl.</t>
  </si>
  <si>
    <t>Rezerwa</t>
  </si>
  <si>
    <t>Bufor budżetowy 10% kosztu robocizny</t>
  </si>
  <si>
    <t>SUMA KOSZTÓW DODATKOWYCH</t>
  </si>
  <si>
    <t>CAŁKOWITY BUDŻET PROJEKTU</t>
  </si>
  <si>
    <t>SEKCJA 1 — Nakład pracy według ról z Microsoft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</si>
</sst>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zł&quot;_-;\-* #,##0.00\ &quot;zł&quot;_-;_-* &quot;-&quot;??\ &quot;zł&quot;_-;_-@_-"/>
    <numFmt numFmtId="164" formatCode="0\ &quot;godz.&quot;"/>
    <numFmt numFmtId="165" formatCode="0.00\ &quot;PLN&quot;"/>
    <numFmt numFmtId="166" formatCode="#,##0.00\ &quot;PLN&quot;"/>
    <numFmt numFmtId="167" formatCode="#,##0.00\ &quot;zł&quot;"/>
  </numFmts>
  <fonts count="14" x14ac:knownFonts="1">
    <font>
      <sz val="11"/>
      <color theme="1"/>
      <name val="Calibri"/>
      <family val="2"/>
      <scheme val="minor"/>
    </font>
    <font>
      <b/>
      <sz val="13"/>
      <color rgb="FF2E5496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0000FF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i/>
      <sz val="8"/>
      <color rgb="FF666666"/>
      <name val="Arial"/>
    </font>
    <font>
      <sz val="11"/>
      <color theme="1"/>
      <name val="Calibri"/>
      <family val="2"/>
      <scheme val="minor"/>
    </font>
    <font>
      <b/>
      <sz val="13"/>
      <color theme="0" tint="-0.14999847407452621"/>
      <name val="Arial"/>
      <family val="2"/>
      <charset val="238"/>
    </font>
    <font>
      <b/>
      <sz val="11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EEF3FF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41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164" fontId="8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167" fontId="8" fillId="2" borderId="1" xfId="1" applyNumberFormat="1" applyFont="1" applyFill="1" applyBorder="1" applyAlignment="1">
      <alignment horizontal="right" vertical="center"/>
    </xf>
    <xf numFmtId="167" fontId="8" fillId="3" borderId="1" xfId="1" applyNumberFormat="1" applyFont="1" applyFill="1" applyBorder="1" applyAlignment="1">
      <alignment horizontal="right" vertical="center"/>
    </xf>
    <xf numFmtId="167" fontId="9" fillId="6" borderId="1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7" fontId="12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vertical="center"/>
    </xf>
    <xf numFmtId="0" fontId="0" fillId="0" borderId="0" xfId="0"/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3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2" borderId="0" xfId="0" applyFont="1" applyFill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1" fillId="0" borderId="0" xfId="0" applyFont="1" applyAlignment="1">
      <alignment vertical="center"/>
    </xf>
    <xf numFmtId="0" fontId="0" fillId="0" borderId="0" xfId="0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5" topLeftCell="A12" activePane="bottomLeft" state="frozen"/>
      <selection pane="bottomLeft" activeCell="G28" sqref="G28"/>
    </sheetView>
  </sheetViews>
  <sheetFormatPr defaultRowHeight="15" x14ac:dyDescent="0.25"/>
  <cols>
    <col min="1" max="1" width="4" customWidth="1"/>
    <col min="2" max="2" width="26" customWidth="1"/>
    <col min="3" max="3" width="44" customWidth="1"/>
    <col min="4" max="5" width="12" customWidth="1"/>
    <col min="6" max="6" width="14" customWidth="1"/>
    <col min="7" max="7" width="16" customWidth="1"/>
  </cols>
  <sheetData>
    <row r="1" spans="1:7" ht="27.95" customHeight="1" x14ac:dyDescent="0.25">
      <c r="A1" s="39"/>
      <c r="B1" s="40"/>
      <c r="C1" s="40"/>
      <c r="D1" s="40"/>
      <c r="E1" s="40"/>
      <c r="F1" s="40"/>
      <c r="G1" s="40"/>
    </row>
    <row r="2" spans="1:7" ht="14.1" customHeight="1" x14ac:dyDescent="0.25">
      <c r="A2" s="25"/>
    </row>
    <row r="4" spans="1:7" ht="20.100000000000001" customHeight="1" x14ac:dyDescent="0.25">
      <c r="A4" s="33" t="s">
        <v>47</v>
      </c>
      <c r="B4" s="30"/>
      <c r="C4" s="30"/>
      <c r="D4" s="30"/>
      <c r="E4" s="30"/>
      <c r="F4" s="30"/>
      <c r="G4" s="30"/>
    </row>
    <row r="5" spans="1:7" ht="26.1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ht="20.100000000000001" customHeight="1" x14ac:dyDescent="0.25">
      <c r="A6" s="2">
        <v>1</v>
      </c>
      <c r="B6" s="3" t="s">
        <v>7</v>
      </c>
      <c r="C6" s="4" t="s">
        <v>8</v>
      </c>
      <c r="D6" s="5">
        <v>1</v>
      </c>
      <c r="E6" s="6">
        <v>40</v>
      </c>
      <c r="F6" s="7">
        <v>120</v>
      </c>
      <c r="G6" s="8">
        <f t="shared" ref="G6:G15" si="0">D6*E6*F6</f>
        <v>4800</v>
      </c>
    </row>
    <row r="7" spans="1:7" ht="20.100000000000001" customHeight="1" x14ac:dyDescent="0.25">
      <c r="A7" s="9">
        <v>2</v>
      </c>
      <c r="B7" s="10" t="s">
        <v>9</v>
      </c>
      <c r="C7" s="11" t="s">
        <v>10</v>
      </c>
      <c r="D7" s="12">
        <v>1</v>
      </c>
      <c r="E7" s="13">
        <v>16</v>
      </c>
      <c r="F7" s="14">
        <v>90</v>
      </c>
      <c r="G7" s="15">
        <f t="shared" si="0"/>
        <v>1440</v>
      </c>
    </row>
    <row r="8" spans="1:7" ht="20.100000000000001" customHeight="1" x14ac:dyDescent="0.25">
      <c r="A8" s="2">
        <v>3</v>
      </c>
      <c r="B8" s="3" t="s">
        <v>11</v>
      </c>
      <c r="C8" s="4" t="s">
        <v>12</v>
      </c>
      <c r="D8" s="5">
        <v>1</v>
      </c>
      <c r="E8" s="6">
        <v>16</v>
      </c>
      <c r="F8" s="7">
        <v>90</v>
      </c>
      <c r="G8" s="8">
        <f t="shared" si="0"/>
        <v>1440</v>
      </c>
    </row>
    <row r="9" spans="1:7" ht="20.100000000000001" customHeight="1" x14ac:dyDescent="0.25">
      <c r="A9" s="9">
        <v>4</v>
      </c>
      <c r="B9" s="10" t="s">
        <v>13</v>
      </c>
      <c r="C9" s="11" t="s">
        <v>14</v>
      </c>
      <c r="D9" s="12">
        <v>1</v>
      </c>
      <c r="E9" s="13">
        <v>72</v>
      </c>
      <c r="F9" s="14">
        <v>110</v>
      </c>
      <c r="G9" s="15">
        <f t="shared" si="0"/>
        <v>7920</v>
      </c>
    </row>
    <row r="10" spans="1:7" ht="20.100000000000001" customHeight="1" x14ac:dyDescent="0.25">
      <c r="A10" s="2">
        <v>5</v>
      </c>
      <c r="B10" s="3" t="s">
        <v>15</v>
      </c>
      <c r="C10" s="4" t="s">
        <v>16</v>
      </c>
      <c r="D10" s="5">
        <v>1</v>
      </c>
      <c r="E10" s="6">
        <v>24</v>
      </c>
      <c r="F10" s="7">
        <v>80</v>
      </c>
      <c r="G10" s="8">
        <f t="shared" si="0"/>
        <v>1920</v>
      </c>
    </row>
    <row r="11" spans="1:7" ht="20.100000000000001" customHeight="1" x14ac:dyDescent="0.25">
      <c r="A11" s="9">
        <v>6</v>
      </c>
      <c r="B11" s="10" t="s">
        <v>17</v>
      </c>
      <c r="C11" s="11" t="s">
        <v>18</v>
      </c>
      <c r="D11" s="12">
        <v>1</v>
      </c>
      <c r="E11" s="13">
        <v>16</v>
      </c>
      <c r="F11" s="14">
        <v>85</v>
      </c>
      <c r="G11" s="15">
        <f t="shared" si="0"/>
        <v>1360</v>
      </c>
    </row>
    <row r="12" spans="1:7" ht="20.100000000000001" customHeight="1" x14ac:dyDescent="0.25">
      <c r="A12" s="2">
        <v>7</v>
      </c>
      <c r="B12" s="3" t="s">
        <v>19</v>
      </c>
      <c r="C12" s="4" t="s">
        <v>20</v>
      </c>
      <c r="D12" s="5">
        <v>1</v>
      </c>
      <c r="E12" s="6">
        <v>40</v>
      </c>
      <c r="F12" s="7">
        <v>85</v>
      </c>
      <c r="G12" s="8">
        <f t="shared" si="0"/>
        <v>3400</v>
      </c>
    </row>
    <row r="13" spans="1:7" ht="20.100000000000001" customHeight="1" x14ac:dyDescent="0.25">
      <c r="A13" s="9">
        <v>8</v>
      </c>
      <c r="B13" s="10" t="s">
        <v>21</v>
      </c>
      <c r="C13" s="11" t="s">
        <v>22</v>
      </c>
      <c r="D13" s="12">
        <v>1</v>
      </c>
      <c r="E13" s="13">
        <v>56</v>
      </c>
      <c r="F13" s="14">
        <v>120</v>
      </c>
      <c r="G13" s="15">
        <f t="shared" si="0"/>
        <v>6720</v>
      </c>
    </row>
    <row r="14" spans="1:7" ht="20.100000000000001" customHeight="1" x14ac:dyDescent="0.25">
      <c r="A14" s="2">
        <v>9</v>
      </c>
      <c r="B14" s="3" t="s">
        <v>23</v>
      </c>
      <c r="C14" s="4" t="s">
        <v>24</v>
      </c>
      <c r="D14" s="5">
        <v>1</v>
      </c>
      <c r="E14" s="6">
        <v>16</v>
      </c>
      <c r="F14" s="7">
        <v>80</v>
      </c>
      <c r="G14" s="8">
        <f t="shared" si="0"/>
        <v>1280</v>
      </c>
    </row>
    <row r="15" spans="1:7" ht="20.100000000000001" customHeight="1" x14ac:dyDescent="0.25">
      <c r="A15" s="9">
        <v>10</v>
      </c>
      <c r="B15" s="10" t="s">
        <v>25</v>
      </c>
      <c r="C15" s="11" t="s">
        <v>26</v>
      </c>
      <c r="D15" s="12">
        <v>1</v>
      </c>
      <c r="E15" s="13">
        <v>8</v>
      </c>
      <c r="F15" s="14">
        <v>80</v>
      </c>
      <c r="G15" s="15">
        <f t="shared" si="0"/>
        <v>640</v>
      </c>
    </row>
    <row r="16" spans="1:7" ht="21.95" customHeight="1" x14ac:dyDescent="0.25">
      <c r="A16" s="34" t="s">
        <v>27</v>
      </c>
      <c r="B16" s="35"/>
      <c r="C16" s="35"/>
      <c r="D16" s="35"/>
      <c r="E16" s="17">
        <f>SUM(E6:E15)</f>
        <v>304</v>
      </c>
      <c r="F16" s="16"/>
      <c r="G16" s="22">
        <f>SUM(G6:G15)</f>
        <v>30920</v>
      </c>
    </row>
    <row r="19" spans="1:7" ht="20.100000000000001" customHeight="1" x14ac:dyDescent="0.25">
      <c r="A19" s="36" t="s">
        <v>28</v>
      </c>
      <c r="B19" s="30"/>
      <c r="C19" s="30"/>
      <c r="D19" s="30"/>
      <c r="E19" s="30"/>
      <c r="F19" s="30"/>
      <c r="G19" s="30"/>
    </row>
    <row r="20" spans="1:7" ht="20.100000000000001" customHeight="1" x14ac:dyDescent="0.25">
      <c r="A20" s="1" t="s">
        <v>0</v>
      </c>
      <c r="B20" s="1" t="s">
        <v>29</v>
      </c>
      <c r="C20" s="1" t="s">
        <v>30</v>
      </c>
      <c r="D20" s="1" t="s">
        <v>31</v>
      </c>
      <c r="E20" s="1" t="s">
        <v>32</v>
      </c>
      <c r="F20" s="1" t="s">
        <v>33</v>
      </c>
      <c r="G20" s="1" t="s">
        <v>6</v>
      </c>
    </row>
    <row r="21" spans="1:7" ht="18" customHeight="1" x14ac:dyDescent="0.25">
      <c r="A21" s="2">
        <v>1</v>
      </c>
      <c r="B21" s="18" t="s">
        <v>34</v>
      </c>
      <c r="C21" s="18" t="s">
        <v>35</v>
      </c>
      <c r="D21" s="2">
        <v>1</v>
      </c>
      <c r="E21" s="18" t="s">
        <v>36</v>
      </c>
      <c r="F21" s="2">
        <v>0</v>
      </c>
      <c r="G21" s="8">
        <f>D21*F21</f>
        <v>0</v>
      </c>
    </row>
    <row r="22" spans="1:7" ht="18" customHeight="1" x14ac:dyDescent="0.25">
      <c r="A22" s="9">
        <v>2</v>
      </c>
      <c r="B22" s="19" t="s">
        <v>37</v>
      </c>
      <c r="C22" s="19" t="s">
        <v>38</v>
      </c>
      <c r="D22" s="9">
        <v>4</v>
      </c>
      <c r="E22" s="19" t="s">
        <v>39</v>
      </c>
      <c r="F22" s="9">
        <v>200</v>
      </c>
      <c r="G22" s="15">
        <f>D22*F22</f>
        <v>800</v>
      </c>
    </row>
    <row r="23" spans="1:7" ht="18" customHeight="1" x14ac:dyDescent="0.25">
      <c r="A23" s="2">
        <v>3</v>
      </c>
      <c r="B23" s="18" t="s">
        <v>40</v>
      </c>
      <c r="C23" s="18" t="s">
        <v>41</v>
      </c>
      <c r="D23" s="2">
        <v>1</v>
      </c>
      <c r="E23" s="18" t="s">
        <v>42</v>
      </c>
      <c r="F23" s="2">
        <v>80</v>
      </c>
      <c r="G23" s="8">
        <f>D23*F23</f>
        <v>80</v>
      </c>
    </row>
    <row r="24" spans="1:7" ht="18" customHeight="1" x14ac:dyDescent="0.25">
      <c r="A24" s="9">
        <v>4</v>
      </c>
      <c r="B24" s="19" t="s">
        <v>43</v>
      </c>
      <c r="C24" s="19" t="s">
        <v>44</v>
      </c>
      <c r="D24" s="9">
        <v>1</v>
      </c>
      <c r="E24" s="19" t="s">
        <v>42</v>
      </c>
      <c r="F24" s="20">
        <f>G16*0.1</f>
        <v>3092</v>
      </c>
      <c r="G24" s="8">
        <f>D24*F24</f>
        <v>3092</v>
      </c>
    </row>
    <row r="25" spans="1:7" ht="21.95" customHeight="1" x14ac:dyDescent="0.25">
      <c r="A25" s="31" t="s">
        <v>45</v>
      </c>
      <c r="B25" s="32"/>
      <c r="C25" s="32"/>
      <c r="D25" s="32"/>
      <c r="E25" s="32"/>
      <c r="F25" s="21"/>
      <c r="G25" s="23">
        <f>SUM(G21:G24)</f>
        <v>3972</v>
      </c>
    </row>
    <row r="26" spans="1:7" ht="16.5" x14ac:dyDescent="0.25">
      <c r="A26" s="37" t="s">
        <v>46</v>
      </c>
      <c r="B26" s="38"/>
      <c r="C26" s="38"/>
      <c r="D26" s="38"/>
      <c r="E26" s="38"/>
      <c r="F26" s="38"/>
      <c r="G26" s="24">
        <v>34892</v>
      </c>
    </row>
    <row r="28" spans="1:7" ht="15" customHeight="1" x14ac:dyDescent="0.25">
      <c r="A28" s="29"/>
      <c r="B28" s="28"/>
      <c r="C28" s="28"/>
      <c r="D28" s="28"/>
      <c r="E28" s="28"/>
      <c r="F28" s="28"/>
      <c r="G28" s="27"/>
    </row>
    <row r="30" spans="1:7" x14ac:dyDescent="0.25">
      <c r="A30" s="26"/>
    </row>
  </sheetData>
  <mergeCells count="5">
    <mergeCell ref="A26:F26"/>
    <mergeCell ref="A25:E25"/>
    <mergeCell ref="A4:G4"/>
    <mergeCell ref="A16:D16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Kosztorys projektu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 Gajda</cp:lastModifiedBy>
  <dcterms:created xsi:type="dcterms:W3CDTF">2026-06-17T14:22:49Z</dcterms:created>
  <dcterms:modified xsi:type="dcterms:W3CDTF">2026-06-18T16:45:13Z</dcterms:modified>
</cp:coreProperties>
</file>